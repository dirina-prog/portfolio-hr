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ібрація" sheetId="1" state="visible" r:id="rId1"/>
    <sheet xmlns:r="http://schemas.openxmlformats.org/officeDocument/2006/relationships" name="Гайд фасилітатора" sheetId="2" state="visible" r:id="rId2"/>
    <sheet xmlns:r="http://schemas.openxmlformats.org/officeDocument/2006/relationships" name="Рішення та протоко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9A84C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2"/>
    </font>
    <font>
      <name val="Arial"/>
      <b val="1"/>
      <sz val="11"/>
    </font>
    <font>
      <name val="Arial"/>
      <sz val="11"/>
    </font>
    <font>
      <name val="Arial"/>
      <color rgb="00000000"/>
      <sz val="9"/>
    </font>
    <font>
      <name val="Arial"/>
      <b val="1"/>
      <color rgb="001F3864"/>
      <sz val="12"/>
    </font>
    <font>
      <name val="Arial"/>
      <b val="1"/>
      <color rgb="00000000"/>
      <sz val="11"/>
    </font>
    <font>
      <name val="Arial"/>
      <sz val="10"/>
    </font>
    <font>
      <name val="Arial"/>
      <i val="1"/>
      <color rgb="001F3864"/>
      <sz val="10"/>
    </font>
    <font>
      <name val="Arial"/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DEEDD"/>
      </patternFill>
    </fill>
    <fill>
      <patternFill patternType="solid">
        <fgColor rgb="00FFFACC"/>
      </patternFill>
    </fill>
    <fill>
      <patternFill patternType="solid">
        <fgColor rgb="00CCEECC"/>
      </patternFill>
    </fill>
    <fill>
      <patternFill patternType="solid">
        <fgColor rgb="00DCE6F1"/>
      </patternFill>
    </fill>
    <fill>
      <patternFill patternType="solid">
        <fgColor rgb="00FFFACD"/>
      </patternFill>
    </fill>
    <fill>
      <patternFill patternType="solid">
        <fgColor rgb="00F0F8FF"/>
      </patternFill>
    </fill>
    <fill>
      <patternFill patternType="solid">
        <fgColor rgb="00FFE5CC"/>
      </patternFill>
    </fill>
    <fill>
      <patternFill patternType="solid">
        <fgColor rgb="00D9D9D9"/>
      </patternFill>
    </fill>
    <fill>
      <patternFill patternType="solid">
        <fgColor rgb="004A4A8A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CC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5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164" fontId="12" fillId="9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left" vertical="center"/>
    </xf>
    <xf numFmtId="0" fontId="13" fillId="15" borderId="0" applyAlignment="1" pivotButton="0" quotePrefix="0" xfId="0">
      <alignment horizontal="left" vertical="center"/>
    </xf>
    <xf numFmtId="0" fontId="14" fillId="16" borderId="1" applyAlignment="1" pivotButton="0" quotePrefix="0" xfId="0">
      <alignment horizontal="left" vertical="center"/>
    </xf>
    <xf numFmtId="0" fontId="13" fillId="17" borderId="0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6" fillId="0" borderId="1" pivotButton="0" quotePrefix="0" xfId="0"/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5" customWidth="1" min="13" max="13"/>
    <col width="18" customWidth="1" min="14" max="14"/>
    <col width="30" customWidth="1" min="15" max="15"/>
  </cols>
  <sheetData>
    <row r="1" ht="38" customHeight="1">
      <c r="A1" s="1" t="inlineStr">
        <is>
          <t>CALIBRATION SESSION — ЗВЕДЕНА ТАБЛИЦЯ ОЦІНОК</t>
        </is>
      </c>
    </row>
    <row r="2" ht="20" customHeight="1">
      <c r="A2" s="2" t="inlineStr">
        <is>
          <t>Sample Company | Performance Evaluation | Заповнюється HR-менеджером під час calibration session</t>
        </is>
      </c>
    </row>
    <row r="3" ht="10" customHeight="1"/>
    <row r="4" ht="22" customHeight="1">
      <c r="A4" s="3" t="inlineStr">
        <is>
          <t>Дата calibration session:</t>
        </is>
      </c>
      <c r="B4" s="39" t="n"/>
      <c r="C4" s="4" t="n"/>
      <c r="D4" s="40" t="n"/>
      <c r="E4" s="39" t="n"/>
    </row>
    <row r="5" ht="22" customHeight="1">
      <c r="A5" s="3" t="inlineStr">
        <is>
          <t>Фасилітатор (HR):</t>
        </is>
      </c>
      <c r="B5" s="39" t="n"/>
      <c r="C5" s="4" t="n"/>
      <c r="D5" s="40" t="n"/>
      <c r="E5" s="39" t="n"/>
    </row>
    <row r="6" ht="22" customHeight="1">
      <c r="A6" s="3" t="inlineStr">
        <is>
          <t>Підрозділ / група:</t>
        </is>
      </c>
      <c r="B6" s="39" t="n"/>
      <c r="C6" s="4" t="n"/>
      <c r="D6" s="40" t="n"/>
      <c r="E6" s="39" t="n"/>
    </row>
    <row r="7" ht="22" customHeight="1">
      <c r="A7" s="3" t="inlineStr">
        <is>
          <t>Період оцінки:</t>
        </is>
      </c>
      <c r="B7" s="39" t="n"/>
      <c r="C7" s="4" t="n"/>
      <c r="D7" s="40" t="n"/>
      <c r="E7" s="39" t="n"/>
    </row>
    <row r="8" ht="22" customHeight="1">
      <c r="A8" s="3" t="inlineStr">
        <is>
          <t>Присутні керівники:</t>
        </is>
      </c>
      <c r="B8" s="39" t="n"/>
      <c r="C8" s="4" t="n"/>
      <c r="D8" s="40" t="n"/>
      <c r="E8" s="40" t="n"/>
      <c r="F8" s="40" t="n"/>
      <c r="G8" s="40" t="n"/>
      <c r="H8" s="39" t="n"/>
    </row>
    <row r="9" ht="10" customHeight="1"/>
    <row r="10" ht="26" customHeight="1">
      <c r="A10" s="5" t="inlineStr">
        <is>
          <t>ЗВЕДЕНА ТАБЛИЦЯ ОЦІНОК — Корпоративні компетенції</t>
        </is>
      </c>
    </row>
    <row r="11" ht="42" customHeight="1">
      <c r="A11" s="6" t="inlineStr">
        <is>
          <t>ПІБ співробітника</t>
        </is>
      </c>
      <c r="B11" s="6" t="inlineStr">
        <is>
          <t>Посада</t>
        </is>
      </c>
      <c r="C11" s="6" t="inlineStr">
        <is>
          <t>Керівник</t>
        </is>
      </c>
      <c r="D11" s="6" t="inlineStr">
        <is>
          <t>Місія
понад усе</t>
        </is>
      </c>
      <c r="E11" s="6" t="inlineStr">
        <is>
          <t>Відповідаль-
ність</t>
        </is>
      </c>
      <c r="F11" s="6" t="inlineStr">
        <is>
          <t>Адаптив-
ність</t>
        </is>
      </c>
      <c r="G11" s="6" t="inlineStr">
        <is>
          <t>Екологічна
комунікація</t>
        </is>
      </c>
      <c r="H11" s="6" t="inlineStr">
        <is>
          <t>Безпека</t>
        </is>
      </c>
      <c r="I11" s="6" t="inlineStr">
        <is>
          <t>Командна
орієнтація</t>
        </is>
      </c>
      <c r="J11" s="6" t="inlineStr">
        <is>
          <t>Серед.
бал</t>
        </is>
      </c>
      <c r="K11" s="6" t="inlineStr">
        <is>
          <t>Само-
оцінка</t>
        </is>
      </c>
      <c r="L11" s="6" t="inlineStr">
        <is>
          <t>Різниця
(авто)</t>
        </is>
      </c>
      <c r="M11" s="6" t="inlineStr">
        <is>
          <t>Попередній
рівень</t>
        </is>
      </c>
      <c r="N11" s="6" t="inlineStr">
        <is>
          <t>Рішення</t>
        </is>
      </c>
      <c r="O11" s="6" t="inlineStr">
        <is>
          <t>Коментар</t>
        </is>
      </c>
    </row>
    <row r="12" ht="28" customHeight="1">
      <c r="A12" s="7" t="inlineStr">
        <is>
          <t>Співробітник 1</t>
        </is>
      </c>
      <c r="B12" s="8" t="inlineStr">
        <is>
          <t>Інженер R&amp;D</t>
        </is>
      </c>
      <c r="C12" s="8" t="inlineStr">
        <is>
          <t>Петренко В.О.</t>
        </is>
      </c>
      <c r="D12" s="9" t="n">
        <v>4</v>
      </c>
      <c r="E12" s="9" t="n">
        <v>4</v>
      </c>
      <c r="F12" s="10" t="n">
        <v>3</v>
      </c>
      <c r="G12" s="9" t="n">
        <v>4</v>
      </c>
      <c r="H12" s="11" t="n">
        <v>5</v>
      </c>
      <c r="I12" s="9" t="n">
        <v>4</v>
      </c>
      <c r="J12" s="12">
        <f>AVERAGE(D12:I12)</f>
        <v/>
      </c>
      <c r="K12" s="13" t="n">
        <v>4.3</v>
      </c>
      <c r="L12" s="14">
        <f>J12-K12</f>
        <v/>
      </c>
      <c r="M12" s="15" t="inlineStr">
        <is>
          <t>Middle</t>
        </is>
      </c>
      <c r="N12" s="16" t="inlineStr">
        <is>
          <t>Підвищення зарплати</t>
        </is>
      </c>
      <c r="O12" s="17" t="inlineStr"/>
    </row>
    <row r="13" ht="28" customHeight="1">
      <c r="A13" s="18" t="inlineStr">
        <is>
          <t>Співробітник 2</t>
        </is>
      </c>
      <c r="B13" s="19" t="inlineStr">
        <is>
          <t>Провідний інженер</t>
        </is>
      </c>
      <c r="C13" s="19" t="inlineStr">
        <is>
          <t>Петренко В.О.</t>
        </is>
      </c>
      <c r="D13" s="11" t="n">
        <v>5</v>
      </c>
      <c r="E13" s="11" t="n">
        <v>5</v>
      </c>
      <c r="F13" s="9" t="n">
        <v>4</v>
      </c>
      <c r="G13" s="11" t="n">
        <v>5</v>
      </c>
      <c r="H13" s="11" t="n">
        <v>5</v>
      </c>
      <c r="I13" s="11" t="n">
        <v>5</v>
      </c>
      <c r="J13" s="12">
        <f>AVERAGE(D13:I13)</f>
        <v/>
      </c>
      <c r="K13" s="13" t="n">
        <v>4.6</v>
      </c>
      <c r="L13" s="14">
        <f>J13-K13</f>
        <v/>
      </c>
      <c r="M13" s="20" t="inlineStr">
        <is>
          <t>Middle</t>
        </is>
      </c>
      <c r="N13" s="21" t="inlineStr">
        <is>
          <t>Промоушен</t>
        </is>
      </c>
      <c r="O13" s="17" t="inlineStr"/>
    </row>
    <row r="14" ht="28" customHeight="1">
      <c r="A14" s="7" t="inlineStr">
        <is>
          <t>Співробітник 3</t>
        </is>
      </c>
      <c r="B14" s="8" t="inlineStr">
        <is>
          <t>Оператор виробн.</t>
        </is>
      </c>
      <c r="C14" s="8" t="inlineStr">
        <is>
          <t>Сидоренко І.М.</t>
        </is>
      </c>
      <c r="D14" s="10" t="n">
        <v>3</v>
      </c>
      <c r="E14" s="10" t="n">
        <v>3</v>
      </c>
      <c r="F14" s="10" t="n">
        <v>3</v>
      </c>
      <c r="G14" s="10" t="n">
        <v>3</v>
      </c>
      <c r="H14" s="9" t="n">
        <v>4</v>
      </c>
      <c r="I14" s="10" t="n">
        <v>3</v>
      </c>
      <c r="J14" s="12">
        <f>AVERAGE(D14:I14)</f>
        <v/>
      </c>
      <c r="K14" s="13" t="n">
        <v>3</v>
      </c>
      <c r="L14" s="14">
        <f>J14-K14</f>
        <v/>
      </c>
      <c r="M14" s="15" t="inlineStr">
        <is>
          <t>Middle</t>
        </is>
      </c>
      <c r="N14" s="16" t="inlineStr">
        <is>
          <t>Стандартний перегляд</t>
        </is>
      </c>
      <c r="O14" s="17" t="inlineStr"/>
    </row>
    <row r="15" ht="28" customHeight="1">
      <c r="A15" s="18" t="inlineStr">
        <is>
          <t>Співробітник 4</t>
        </is>
      </c>
      <c r="B15" s="19" t="inlineStr">
        <is>
          <t>Технолог</t>
        </is>
      </c>
      <c r="C15" s="19" t="inlineStr">
        <is>
          <t>Сидоренко І.М.</t>
        </is>
      </c>
      <c r="D15" s="9" t="n">
        <v>4</v>
      </c>
      <c r="E15" s="9" t="n">
        <v>4</v>
      </c>
      <c r="F15" s="9" t="n">
        <v>4</v>
      </c>
      <c r="G15" s="9" t="n">
        <v>4</v>
      </c>
      <c r="H15" s="9" t="n">
        <v>4</v>
      </c>
      <c r="I15" s="9" t="n">
        <v>4</v>
      </c>
      <c r="J15" s="12">
        <f>AVERAGE(D15:I15)</f>
        <v/>
      </c>
      <c r="K15" s="13" t="n">
        <v>4.3</v>
      </c>
      <c r="L15" s="14">
        <f>J15-K15</f>
        <v/>
      </c>
      <c r="M15" s="20" t="inlineStr">
        <is>
          <t>Middle</t>
        </is>
      </c>
      <c r="N15" s="21" t="inlineStr">
        <is>
          <t>Підвищення зарплати</t>
        </is>
      </c>
      <c r="O15" s="17" t="inlineStr"/>
    </row>
    <row r="16" ht="28" customHeight="1">
      <c r="A16" s="7" t="inlineStr">
        <is>
          <t>Співробітник 5</t>
        </is>
      </c>
      <c r="B16" s="8" t="inlineStr">
        <is>
          <t>Розробник ПЗ</t>
        </is>
      </c>
      <c r="C16" s="8" t="inlineStr">
        <is>
          <t>Кравченко О.П.</t>
        </is>
      </c>
      <c r="D16" s="10" t="n">
        <v>3</v>
      </c>
      <c r="E16" s="9" t="n">
        <v>4</v>
      </c>
      <c r="F16" s="9" t="n">
        <v>4</v>
      </c>
      <c r="G16" s="10" t="n">
        <v>3</v>
      </c>
      <c r="H16" s="9" t="n">
        <v>4</v>
      </c>
      <c r="I16" s="10" t="n">
        <v>3</v>
      </c>
      <c r="J16" s="12">
        <f>AVERAGE(D16:I16)</f>
        <v/>
      </c>
      <c r="K16" s="13" t="n">
        <v>3.3</v>
      </c>
      <c r="L16" s="14">
        <f>J16-K16</f>
        <v/>
      </c>
      <c r="M16" s="15" t="inlineStr">
        <is>
          <t>Middle</t>
        </is>
      </c>
      <c r="N16" s="16" t="inlineStr">
        <is>
          <t>Підвищення зарплати</t>
        </is>
      </c>
      <c r="O16" s="17" t="inlineStr"/>
    </row>
    <row r="17" ht="28" customHeight="1">
      <c r="A17" s="18" t="inlineStr">
        <is>
          <t>Співробітник 6</t>
        </is>
      </c>
      <c r="B17" s="19" t="inlineStr">
        <is>
          <t>Керівник відділу</t>
        </is>
      </c>
      <c r="C17" s="19" t="inlineStr">
        <is>
          <t>Директор</t>
        </is>
      </c>
      <c r="D17" s="11" t="n">
        <v>5</v>
      </c>
      <c r="E17" s="11" t="n">
        <v>5</v>
      </c>
      <c r="F17" s="11" t="n">
        <v>5</v>
      </c>
      <c r="G17" s="11" t="n">
        <v>5</v>
      </c>
      <c r="H17" s="11" t="n">
        <v>5</v>
      </c>
      <c r="I17" s="11" t="n">
        <v>5</v>
      </c>
      <c r="J17" s="12">
        <f>AVERAGE(D17:I17)</f>
        <v/>
      </c>
      <c r="K17" s="13" t="n">
        <v>4.8</v>
      </c>
      <c r="L17" s="14">
        <f>J17-K17</f>
        <v/>
      </c>
      <c r="M17" s="20" t="inlineStr">
        <is>
          <t>Middle</t>
        </is>
      </c>
      <c r="N17" s="21" t="inlineStr">
        <is>
          <t>Промоушен</t>
        </is>
      </c>
      <c r="O17" s="17" t="inlineStr"/>
    </row>
    <row r="18" ht="28" customHeight="1">
      <c r="A18" s="7" t="inlineStr">
        <is>
          <t>Співробітник 7</t>
        </is>
      </c>
      <c r="B18" s="8" t="inlineStr">
        <is>
          <t>Складальник</t>
        </is>
      </c>
      <c r="C18" s="8" t="inlineStr">
        <is>
          <t>Сидоренко І.М.</t>
        </is>
      </c>
      <c r="D18" s="22" t="n">
        <v>2</v>
      </c>
      <c r="E18" s="10" t="n">
        <v>3</v>
      </c>
      <c r="F18" s="22" t="n">
        <v>2</v>
      </c>
      <c r="G18" s="22" t="n">
        <v>2</v>
      </c>
      <c r="H18" s="10" t="n">
        <v>3</v>
      </c>
      <c r="I18" s="22" t="n">
        <v>2</v>
      </c>
      <c r="J18" s="12">
        <f>AVERAGE(D18:I18)</f>
        <v/>
      </c>
      <c r="K18" s="13" t="n">
        <v>2.6</v>
      </c>
      <c r="L18" s="14">
        <f>J18-K18</f>
        <v/>
      </c>
      <c r="M18" s="15" t="inlineStr">
        <is>
          <t>Middle</t>
        </is>
      </c>
      <c r="N18" s="16" t="inlineStr">
        <is>
          <t>План розвитку (PIP)</t>
        </is>
      </c>
      <c r="O18" s="17" t="inlineStr"/>
    </row>
    <row r="19" ht="28" customHeight="1">
      <c r="A19" s="18" t="inlineStr">
        <is>
          <t>Співробітник 8</t>
        </is>
      </c>
      <c r="B19" s="19" t="inlineStr">
        <is>
          <t>Аналітик</t>
        </is>
      </c>
      <c r="C19" s="19" t="inlineStr">
        <is>
          <t>Кравченко О.П.</t>
        </is>
      </c>
      <c r="D19" s="9" t="n">
        <v>4</v>
      </c>
      <c r="E19" s="10" t="n">
        <v>3</v>
      </c>
      <c r="F19" s="9" t="n">
        <v>4</v>
      </c>
      <c r="G19" s="9" t="n">
        <v>4</v>
      </c>
      <c r="H19" s="9" t="n">
        <v>4</v>
      </c>
      <c r="I19" s="9" t="n">
        <v>4</v>
      </c>
      <c r="J19" s="12">
        <f>AVERAGE(D19:I19)</f>
        <v/>
      </c>
      <c r="K19" s="13" t="n">
        <v>3.6</v>
      </c>
      <c r="L19" s="14">
        <f>J19-K19</f>
        <v/>
      </c>
      <c r="M19" s="20" t="inlineStr">
        <is>
          <t>Middle</t>
        </is>
      </c>
      <c r="N19" s="21" t="inlineStr">
        <is>
          <t>Підвищення зарплати</t>
        </is>
      </c>
      <c r="O19" s="17" t="inlineStr"/>
    </row>
    <row r="20" ht="28" customHeight="1">
      <c r="A20" s="7" t="inlineStr">
        <is>
          <t>Співробітник 9</t>
        </is>
      </c>
      <c r="B20" s="8" t="inlineStr">
        <is>
          <t>Інженер R&amp;D</t>
        </is>
      </c>
      <c r="C20" s="8" t="inlineStr">
        <is>
          <t>Петренко В.О.</t>
        </is>
      </c>
      <c r="D20" s="10" t="n">
        <v>3</v>
      </c>
      <c r="E20" s="10" t="n">
        <v>3</v>
      </c>
      <c r="F20" s="22" t="n">
        <v>2</v>
      </c>
      <c r="G20" s="10" t="n">
        <v>3</v>
      </c>
      <c r="H20" s="9" t="n">
        <v>4</v>
      </c>
      <c r="I20" s="10" t="n">
        <v>3</v>
      </c>
      <c r="J20" s="12">
        <f>AVERAGE(D20:I20)</f>
        <v/>
      </c>
      <c r="K20" s="13" t="n">
        <v>2.8</v>
      </c>
      <c r="L20" s="14">
        <f>J20-K20</f>
        <v/>
      </c>
      <c r="M20" s="15" t="inlineStr">
        <is>
          <t>Middle</t>
        </is>
      </c>
      <c r="N20" s="16" t="inlineStr">
        <is>
          <t>Стандартний перегляд</t>
        </is>
      </c>
      <c r="O20" s="17" t="inlineStr"/>
    </row>
    <row r="21" ht="28" customHeight="1">
      <c r="A21" s="18" t="inlineStr">
        <is>
          <t>Співробітник 10</t>
        </is>
      </c>
      <c r="B21" s="19" t="inlineStr">
        <is>
          <t>HR-менеджер</t>
        </is>
      </c>
      <c r="C21" s="19" t="inlineStr">
        <is>
          <t>Директор</t>
        </is>
      </c>
      <c r="D21" s="9" t="n">
        <v>4</v>
      </c>
      <c r="E21" s="9" t="n">
        <v>4</v>
      </c>
      <c r="F21" s="9" t="n">
        <v>4</v>
      </c>
      <c r="G21" s="11" t="n">
        <v>5</v>
      </c>
      <c r="H21" s="9" t="n">
        <v>4</v>
      </c>
      <c r="I21" s="9" t="n">
        <v>4</v>
      </c>
      <c r="J21" s="12">
        <f>AVERAGE(D21:I21)</f>
        <v/>
      </c>
      <c r="K21" s="13" t="n">
        <v>4.5</v>
      </c>
      <c r="L21" s="14">
        <f>J21-K21</f>
        <v/>
      </c>
      <c r="M21" s="20" t="inlineStr">
        <is>
          <t>Middle</t>
        </is>
      </c>
      <c r="N21" s="21" t="inlineStr">
        <is>
          <t>Підвищення зарплати</t>
        </is>
      </c>
      <c r="O21" s="17" t="inlineStr"/>
    </row>
    <row r="22"/>
    <row r="23"/>
    <row r="24" ht="26" customHeight="1">
      <c r="A24" s="23" t="inlineStr">
        <is>
          <t>ПІДСУМКОВА АНАЛІТИКА ПО ГРУПІ</t>
        </is>
      </c>
    </row>
    <row r="25" ht="24" customHeight="1">
      <c r="A25" s="3" t="inlineStr">
        <is>
          <t>Середній бал по групі:</t>
        </is>
      </c>
      <c r="B25" s="40" t="n"/>
      <c r="C25" s="39" t="n"/>
      <c r="D25" s="24">
        <f>AVERAGE(J12:J21)</f>
        <v/>
      </c>
    </row>
    <row r="26" ht="24" customHeight="1">
      <c r="A26" s="3" t="inlineStr">
        <is>
          <t>Кількість співробітників:</t>
        </is>
      </c>
      <c r="B26" s="40" t="n"/>
      <c r="C26" s="39" t="n"/>
      <c r="D26" s="24" t="n">
        <v>10</v>
      </c>
    </row>
    <row r="27" ht="24" customHeight="1">
      <c r="A27" s="3" t="inlineStr">
        <is>
          <t>Кількість з балом 4+:</t>
        </is>
      </c>
      <c r="B27" s="40" t="n"/>
      <c r="C27" s="39" t="n"/>
      <c r="D27" s="24">
        <f>COUNTIF(J12:J21,"&gt;=4")</f>
        <v/>
      </c>
    </row>
    <row r="28" ht="24" customHeight="1">
      <c r="A28" s="3" t="inlineStr">
        <is>
          <t>Кількість з балом нижче 3:</t>
        </is>
      </c>
      <c r="B28" s="40" t="n"/>
      <c r="C28" s="39" t="n"/>
      <c r="D28" s="24">
        <f>COUNTIF(J12:J21,"&lt;3")</f>
        <v/>
      </c>
    </row>
    <row r="29" ht="24" customHeight="1">
      <c r="A29" s="3" t="inlineStr">
        <is>
          <t>Середній розрив самооцінка/керівник:</t>
        </is>
      </c>
      <c r="B29" s="40" t="n"/>
      <c r="C29" s="39" t="n"/>
      <c r="D29" s="24">
        <f>AVERAGE(L12:L21)</f>
        <v/>
      </c>
    </row>
  </sheetData>
  <mergeCells count="19">
    <mergeCell ref="A2:V2"/>
    <mergeCell ref="A25:C25"/>
    <mergeCell ref="A27:C27"/>
    <mergeCell ref="A26:C26"/>
    <mergeCell ref="A6:B6"/>
    <mergeCell ref="A10:V10"/>
    <mergeCell ref="A7:B7"/>
    <mergeCell ref="C8:H8"/>
    <mergeCell ref="A29:C29"/>
    <mergeCell ref="C7:E7"/>
    <mergeCell ref="A24:V24"/>
    <mergeCell ref="A28:C28"/>
    <mergeCell ref="A1:V1"/>
    <mergeCell ref="A5:B5"/>
    <mergeCell ref="A8:B8"/>
    <mergeCell ref="C6:E6"/>
    <mergeCell ref="A4:B4"/>
    <mergeCell ref="C5:E5"/>
    <mergeCell ref="C4:E4"/>
  </mergeCells>
  <conditionalFormatting sqref="L12:L21">
    <cfRule type="colorScale" priority="1">
      <colorScale>
        <cfvo type="num" val="-2"/>
        <cfvo type="num" val="0"/>
        <cfvo type="num" val="2"/>
        <color rgb="00FF6B6B"/>
        <color rgb="00FFFFFF"/>
        <color rgb="0063BE7B"/>
      </colorScale>
    </cfRule>
  </conditionalFormatting>
  <conditionalFormatting sqref="J12:J21">
    <cfRule type="colorScale" priority="2">
      <colorScale>
        <cfvo type="num" val="1"/>
        <cfvo type="num" val="3"/>
        <cfvo type="num" val="5"/>
        <color rgb="00FFCCCC"/>
        <color rgb="00FFFACC"/>
        <color rgb="00CCEEC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5" customWidth="1" min="4" max="4"/>
  </cols>
  <sheetData>
    <row r="1" ht="38" customHeight="1">
      <c r="A1" s="1" t="inlineStr">
        <is>
          <t>ГАЙД ФАСИЛІТАТОРА — Calibration Session</t>
        </is>
      </c>
    </row>
    <row r="2" ht="20" customHeight="1">
      <c r="A2" s="2" t="inlineStr">
        <is>
          <t>Роль HR: фасилітувати процес, забезпечити об'єктивність, зафіксувати рішення</t>
        </is>
      </c>
    </row>
    <row r="3" ht="10" customHeight="1"/>
    <row r="4" ht="26" customHeight="1">
      <c r="A4" s="5" t="inlineStr">
        <is>
          <t>ПОРЯДОК ДЕННИЙ (90 хвилин)</t>
        </is>
      </c>
    </row>
    <row r="5" ht="24" customHeight="1">
      <c r="A5" s="25" t="inlineStr">
        <is>
          <t>Час</t>
        </is>
      </c>
      <c r="B5" s="25" t="inlineStr">
        <is>
          <t>Блок</t>
        </is>
      </c>
      <c r="C5" s="25" t="inlineStr">
        <is>
          <t>Що відбувається</t>
        </is>
      </c>
      <c r="D5" s="25" t="inlineStr">
        <is>
          <t>Тривалість</t>
        </is>
      </c>
    </row>
    <row r="6" ht="45" customHeight="1">
      <c r="A6" s="26" t="inlineStr">
        <is>
          <t>00:00 – 00:10</t>
        </is>
      </c>
      <c r="B6" s="7" t="inlineStr">
        <is>
          <t>Відкриття та мета</t>
        </is>
      </c>
      <c r="C6" s="8" t="inlineStr">
        <is>
          <t>HR нагадує мету сесії: вирівняти оцінки, прийняти спільні рішення. НЕ обговорювати кожну людину детально.</t>
        </is>
      </c>
      <c r="D6" s="15" t="inlineStr">
        <is>
          <t>10 хв</t>
        </is>
      </c>
    </row>
    <row r="7" ht="45" customHeight="1">
      <c r="A7" s="27" t="inlineStr">
        <is>
          <t>00:10 – 00:20</t>
        </is>
      </c>
      <c r="B7" s="18" t="inlineStr">
        <is>
          <t>Огляд загальної картини</t>
        </is>
      </c>
      <c r="C7" s="19" t="inlineStr">
        <is>
          <t>HR показує зведену таблицю: розподіл оцінок по групі, середні бали, аномалії. Виявити outliers — тих хто різко вище/нижче.</t>
        </is>
      </c>
      <c r="D7" s="20" t="inlineStr">
        <is>
          <t>10 хв</t>
        </is>
      </c>
    </row>
    <row r="8" ht="45" customHeight="1">
      <c r="A8" s="26" t="inlineStr">
        <is>
          <t>00:20 – 00:60</t>
        </is>
      </c>
      <c r="B8" s="7" t="inlineStr">
        <is>
          <t>Калібрація по кожному</t>
        </is>
      </c>
      <c r="C8" s="8" t="inlineStr">
        <is>
          <t>Фокус на людях з оцінками на межі (3.5-4.0 або 4.5-5.0). Керівник обґрунтовує — колеги можуть ставити питання.</t>
        </is>
      </c>
      <c r="D8" s="15" t="inlineStr">
        <is>
          <t>40 хв</t>
        </is>
      </c>
    </row>
    <row r="9" ht="45" customHeight="1">
      <c r="A9" s="27" t="inlineStr">
        <is>
          <t>00:60 – 00:75</t>
        </is>
      </c>
      <c r="B9" s="18" t="inlineStr">
        <is>
          <t>Обговорення розривів</t>
        </is>
      </c>
      <c r="C9" s="19" t="inlineStr">
        <is>
          <t>Де розрив між самооцінкою і оцінкою керівника більше ±1 — обговорити причини. HR фіксує.</t>
        </is>
      </c>
      <c r="D9" s="20" t="inlineStr">
        <is>
          <t>15 хв</t>
        </is>
      </c>
    </row>
    <row r="10" ht="45" customHeight="1">
      <c r="A10" s="26" t="inlineStr">
        <is>
          <t>00:75 – 00:90</t>
        </is>
      </c>
      <c r="B10" s="7" t="inlineStr">
        <is>
          <t>Фіналізація рішень</t>
        </is>
      </c>
      <c r="C10" s="8" t="inlineStr">
        <is>
          <t>Підтвердити фінальні оцінки. Узгодити рекомендації: промоушени, PIP, підвищення. HR фіксує рішення.</t>
        </is>
      </c>
      <c r="D10" s="15" t="inlineStr">
        <is>
          <t>15 хв</t>
        </is>
      </c>
    </row>
    <row r="11"/>
    <row r="12" ht="10" customHeight="1"/>
    <row r="13" ht="26" customHeight="1">
      <c r="A13" s="28" t="inlineStr">
        <is>
          <t>ПРАВИЛА КАЛІБРАЦІЇ</t>
        </is>
      </c>
    </row>
    <row r="14" ht="24" customHeight="1">
      <c r="A14" s="29" t="inlineStr">
        <is>
          <t>• РОБИТИ</t>
        </is>
      </c>
    </row>
    <row r="15" ht="22" customHeight="1">
      <c r="A15" s="30" t="inlineStr">
        <is>
          <t>• Обговорювати конкретні поведінкові приклади</t>
        </is>
      </c>
      <c r="B15" s="40" t="n"/>
      <c r="C15" s="40" t="n"/>
      <c r="D15" s="39" t="n"/>
    </row>
    <row r="16" ht="22" customHeight="1">
      <c r="A16" s="30" t="inlineStr">
        <is>
          <t>• Порівнювати людей в межах однієї ролі/рівня</t>
        </is>
      </c>
      <c r="B16" s="40" t="n"/>
      <c r="C16" s="40" t="n"/>
      <c r="D16" s="39" t="n"/>
    </row>
    <row r="17" ht="22" customHeight="1">
      <c r="A17" s="30" t="inlineStr">
        <is>
          <t>• Фіксувати кожне рішення з обґрунтуванням</t>
        </is>
      </c>
      <c r="B17" s="40" t="n"/>
      <c r="C17" s="40" t="n"/>
      <c r="D17" s="39" t="n"/>
    </row>
    <row r="18" ht="22" customHeight="1">
      <c r="A18" s="30" t="inlineStr">
        <is>
          <t>• Питати 'що конкретно ця людина зробила на рівні 4?'</t>
        </is>
      </c>
      <c r="B18" s="40" t="n"/>
      <c r="C18" s="40" t="n"/>
      <c r="D18" s="39" t="n"/>
    </row>
    <row r="19" ht="22" customHeight="1">
      <c r="A19" s="30" t="inlineStr">
        <is>
          <t>• Давати слово кожному керівнику рівномірно</t>
        </is>
      </c>
      <c r="B19" s="40" t="n"/>
      <c r="C19" s="40" t="n"/>
      <c r="D19" s="39" t="n"/>
    </row>
    <row r="20"/>
    <row r="21" ht="24" customHeight="1">
      <c r="A21" s="31" t="inlineStr">
        <is>
          <t>НЕ РОБИТИ</t>
        </is>
      </c>
    </row>
    <row r="22" ht="22" customHeight="1">
      <c r="A22" s="30" t="inlineStr">
        <is>
          <t>• Оцінювати за симпатією або антипатією</t>
        </is>
      </c>
      <c r="B22" s="40" t="n"/>
      <c r="C22" s="40" t="n"/>
      <c r="D22" s="39" t="n"/>
    </row>
    <row r="23" ht="22" customHeight="1">
      <c r="A23" s="30" t="inlineStr">
        <is>
          <t>• Підвищувати всім щоб уникнути конфлікту</t>
        </is>
      </c>
      <c r="B23" s="40" t="n"/>
      <c r="C23" s="40" t="n"/>
      <c r="D23" s="39" t="n"/>
    </row>
    <row r="24" ht="22" customHeight="1">
      <c r="A24" s="30" t="inlineStr">
        <is>
          <t>• Обговорювати особисті якості замість поведінки</t>
        </is>
      </c>
      <c r="B24" s="40" t="n"/>
      <c r="C24" s="40" t="n"/>
      <c r="D24" s="39" t="n"/>
    </row>
    <row r="25" ht="22" customHeight="1">
      <c r="A25" s="30" t="inlineStr">
        <is>
          <t>• Залишати розриви в оцінках без пояснення</t>
        </is>
      </c>
      <c r="B25" s="40" t="n"/>
      <c r="C25" s="40" t="n"/>
      <c r="D25" s="39" t="n"/>
    </row>
    <row r="26" ht="22" customHeight="1">
      <c r="A26" s="30" t="inlineStr">
        <is>
          <t>• Дозволяти одному керівнику домінувати в обговоренні</t>
        </is>
      </c>
      <c r="B26" s="40" t="n"/>
      <c r="C26" s="40" t="n"/>
      <c r="D26" s="39" t="n"/>
    </row>
    <row r="27"/>
    <row r="28" ht="10" customHeight="1"/>
    <row r="29" ht="26" customHeight="1">
      <c r="A29" s="23" t="inlineStr">
        <is>
          <t>ПИТАННЯ ДЛЯ ФАСИЛІТАТОРА — якщо обговорення заходить у глухий кут</t>
        </is>
      </c>
    </row>
    <row r="30" ht="24" customHeight="1">
      <c r="A30" s="25" t="inlineStr">
        <is>
          <t>Ситуація</t>
        </is>
      </c>
      <c r="B30" s="25" t="inlineStr">
        <is>
          <t>Питання / фраза фасилітатора</t>
        </is>
      </c>
      <c r="C30" s="40" t="n"/>
      <c r="D30" s="39" t="n"/>
    </row>
    <row r="31" ht="40" customHeight="1">
      <c r="A31" s="7" t="inlineStr">
        <is>
          <t>Якщо керівник завищує оцінки:</t>
        </is>
      </c>
      <c r="B31" s="32" t="inlineStr">
        <is>
          <t>«Можеш навести конкретний приклад поведінки що відповідає рівню 5 для цієї компетенції?»</t>
        </is>
      </c>
      <c r="C31" s="40" t="n"/>
      <c r="D31" s="39" t="n"/>
    </row>
    <row r="32" ht="40" customHeight="1">
      <c r="A32" s="18" t="inlineStr">
        <is>
          <t>Якщо є конфлікт між керівниками:</t>
        </is>
      </c>
      <c r="B32" s="33" t="inlineStr">
        <is>
          <t>«Давайте подивимось на поведінкові індикатори у фреймворку — який рівень описує те що ми бачимо?»</t>
        </is>
      </c>
      <c r="C32" s="40" t="n"/>
      <c r="D32" s="39" t="n"/>
    </row>
    <row r="33" ht="40" customHeight="1">
      <c r="A33" s="7" t="inlineStr">
        <is>
          <t>Якщо людина на межі промоушену:</t>
        </is>
      </c>
      <c r="B33" s="32" t="inlineStr">
        <is>
          <t>«Чи готова ця людина до нової ролі вже зараз, чи потребує ще 6 місяців розвитку?»</t>
        </is>
      </c>
      <c r="C33" s="40" t="n"/>
      <c r="D33" s="39" t="n"/>
    </row>
    <row r="34" ht="40" customHeight="1">
      <c r="A34" s="18" t="inlineStr">
        <is>
          <t>Якщо є великий розрив самооцінки:</t>
        </is>
      </c>
      <c r="B34" s="33" t="inlineStr">
        <is>
          <t>«Що могло вплинути на те що людина оцінює себе значно вище/нижче? Чи є сигнал для фідбек-зустрічі?»</t>
        </is>
      </c>
      <c r="C34" s="40" t="n"/>
      <c r="D34" s="39" t="n"/>
    </row>
    <row r="35" ht="40" customHeight="1">
      <c r="A35" s="7" t="inlineStr">
        <is>
          <t>Якщо обговорення затягується:</t>
        </is>
      </c>
      <c r="B35" s="32" t="inlineStr">
        <is>
          <t>«Ми вже маємо достатньо інформації для рішення. Пропоную зафіксувати і рухатись далі.»</t>
        </is>
      </c>
      <c r="C35" s="40" t="n"/>
      <c r="D35" s="39" t="n"/>
    </row>
  </sheetData>
  <mergeCells count="23">
    <mergeCell ref="A17:D17"/>
    <mergeCell ref="A23:D23"/>
    <mergeCell ref="A22:D22"/>
    <mergeCell ref="A4:D4"/>
    <mergeCell ref="A29:D29"/>
    <mergeCell ref="A19:D19"/>
    <mergeCell ref="A13:D13"/>
    <mergeCell ref="B34:D34"/>
    <mergeCell ref="A15:D15"/>
    <mergeCell ref="A24:D24"/>
    <mergeCell ref="B30:D30"/>
    <mergeCell ref="B33:D33"/>
    <mergeCell ref="A1:D1"/>
    <mergeCell ref="B32:D32"/>
    <mergeCell ref="B35:D35"/>
    <mergeCell ref="A25:D25"/>
    <mergeCell ref="A16:D16"/>
    <mergeCell ref="A18:D18"/>
    <mergeCell ref="B31:D31"/>
    <mergeCell ref="A26:D26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0" customWidth="1" min="5" max="5"/>
    <col width="22" customWidth="1" min="6" max="6"/>
    <col width="35" customWidth="1" min="7" max="7"/>
    <col width="25" customWidth="1" min="8" max="8"/>
  </cols>
  <sheetData>
    <row r="1" ht="38" customHeight="1">
      <c r="A1" s="1" t="inlineStr">
        <is>
          <t>ПРОТОКОЛ РІШЕНЬ — Calibration Session</t>
        </is>
      </c>
    </row>
    <row r="2" ht="20" customHeight="1">
      <c r="A2" s="2" t="inlineStr">
        <is>
          <t>Цей аркуш є офіційним протоколом сесії. Підписується фасилітатором та присутніми керівниками.</t>
        </is>
      </c>
    </row>
    <row r="3" ht="10" customHeight="1"/>
    <row r="4" ht="22" customHeight="1">
      <c r="A4" s="3" t="inlineStr">
        <is>
          <t>Дата:</t>
        </is>
      </c>
      <c r="B4" s="39" t="n"/>
      <c r="C4" s="34" t="n"/>
      <c r="D4" s="40" t="n"/>
      <c r="E4" s="40" t="n"/>
      <c r="F4" s="40" t="n"/>
      <c r="G4" s="40" t="n"/>
      <c r="H4" s="39" t="n"/>
    </row>
    <row r="5" ht="22" customHeight="1">
      <c r="A5" s="3" t="inlineStr">
        <is>
          <t>Підрозділ:</t>
        </is>
      </c>
      <c r="B5" s="39" t="n"/>
      <c r="C5" s="34" t="n"/>
      <c r="D5" s="40" t="n"/>
      <c r="E5" s="40" t="n"/>
      <c r="F5" s="40" t="n"/>
      <c r="G5" s="40" t="n"/>
      <c r="H5" s="39" t="n"/>
    </row>
    <row r="6" ht="22" customHeight="1">
      <c r="A6" s="3" t="inlineStr">
        <is>
          <t>Фасилітатор HR:</t>
        </is>
      </c>
      <c r="B6" s="39" t="n"/>
      <c r="C6" s="34" t="n"/>
      <c r="D6" s="40" t="n"/>
      <c r="E6" s="40" t="n"/>
      <c r="F6" s="40" t="n"/>
      <c r="G6" s="40" t="n"/>
      <c r="H6" s="39" t="n"/>
    </row>
    <row r="7" ht="22" customHeight="1">
      <c r="A7" s="3" t="inlineStr">
        <is>
          <t>Наступні кроки до:</t>
        </is>
      </c>
      <c r="B7" s="39" t="n"/>
      <c r="C7" s="34" t="n"/>
      <c r="D7" s="40" t="n"/>
      <c r="E7" s="40" t="n"/>
      <c r="F7" s="40" t="n"/>
      <c r="G7" s="40" t="n"/>
      <c r="H7" s="39" t="n"/>
    </row>
    <row r="8" ht="10" customHeight="1"/>
    <row r="9" ht="26" customHeight="1">
      <c r="A9" s="5" t="inlineStr">
        <is>
          <t>ЗАФІКСОВАНІ РІШЕННЯ</t>
        </is>
      </c>
    </row>
    <row r="10" ht="36" customHeight="1">
      <c r="A10" s="6" t="inlineStr">
        <is>
          <t>ПІБ співробітника</t>
        </is>
      </c>
      <c r="B10" s="6" t="inlineStr">
        <is>
          <t>Посада</t>
        </is>
      </c>
      <c r="C10" s="6" t="inlineStr">
        <is>
          <t>Фінальний
бал</t>
        </is>
      </c>
      <c r="D10" s="6" t="inlineStr">
        <is>
          <t>Попередній
рівень</t>
        </is>
      </c>
      <c r="E10" s="6" t="inlineStr">
        <is>
          <t>Рішення</t>
        </is>
      </c>
      <c r="F10" s="6" t="inlineStr">
        <is>
          <t>Відповідальний</t>
        </is>
      </c>
      <c r="G10" s="6" t="inlineStr">
        <is>
          <t>Коментар / обґрунтування</t>
        </is>
      </c>
      <c r="H10" s="6" t="inlineStr">
        <is>
          <t>Статус виконання</t>
        </is>
      </c>
    </row>
    <row r="11" ht="45" customHeight="1">
      <c r="A11" s="7" t="inlineStr">
        <is>
          <t>Співробітник 1</t>
        </is>
      </c>
      <c r="B11" s="8" t="inlineStr">
        <is>
          <t>Інженер R&amp;D</t>
        </is>
      </c>
      <c r="C11" s="35" t="inlineStr">
        <is>
          <t>3.8</t>
        </is>
      </c>
      <c r="D11" s="15" t="inlineStr">
        <is>
          <t>Middle</t>
        </is>
      </c>
      <c r="E11" s="8" t="inlineStr">
        <is>
          <t>Підвищення зарплати</t>
        </is>
      </c>
      <c r="F11" s="15" t="inlineStr">
        <is>
          <t>Петренко В.О.</t>
        </is>
      </c>
      <c r="G11" s="8" t="inlineStr">
        <is>
          <t>Стабільний результат, є прогрес по адаптивності</t>
        </is>
      </c>
      <c r="H11" s="15" t="inlineStr">
        <is>
          <t>В процесі</t>
        </is>
      </c>
    </row>
    <row r="12" ht="45" customHeight="1">
      <c r="A12" s="18" t="inlineStr">
        <is>
          <t>Співробітник 2</t>
        </is>
      </c>
      <c r="B12" s="19" t="inlineStr">
        <is>
          <t>Провідний інженер</t>
        </is>
      </c>
      <c r="C12" s="36" t="inlineStr">
        <is>
          <t>4.8</t>
        </is>
      </c>
      <c r="D12" s="20" t="inlineStr">
        <is>
          <t>Senior</t>
        </is>
      </c>
      <c r="E12" s="19" t="inlineStr">
        <is>
          <t>Промоушен на Lead</t>
        </is>
      </c>
      <c r="F12" s="20" t="inlineStr">
        <is>
          <t>Петренко В.О.</t>
        </is>
      </c>
      <c r="G12" s="19" t="inlineStr">
        <is>
          <t>Системно перевищує очікування, готова до Lead</t>
        </is>
      </c>
      <c r="H12" s="20" t="inlineStr">
        <is>
          <t>В процесі</t>
        </is>
      </c>
    </row>
    <row r="13" ht="45" customHeight="1">
      <c r="A13" s="7" t="inlineStr">
        <is>
          <t>Співробітник 7</t>
        </is>
      </c>
      <c r="B13" s="8" t="inlineStr">
        <is>
          <t>Складальник</t>
        </is>
      </c>
      <c r="C13" s="37" t="inlineStr">
        <is>
          <t>2.5</t>
        </is>
      </c>
      <c r="D13" s="15" t="inlineStr">
        <is>
          <t>Junior</t>
        </is>
      </c>
      <c r="E13" s="8" t="inlineStr">
        <is>
          <t>План розвитку (PIP)</t>
        </is>
      </c>
      <c r="F13" s="15" t="inlineStr">
        <is>
          <t>Сидоренко І.М.</t>
        </is>
      </c>
      <c r="G13" s="8" t="inlineStr">
        <is>
          <t>Нестабільна якість, потрібен 90-денний план</t>
        </is>
      </c>
      <c r="H13" s="15" t="inlineStr">
        <is>
          <t>В процесі</t>
        </is>
      </c>
    </row>
    <row r="14" ht="40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17" t="inlineStr"/>
    </row>
    <row r="15" ht="40" customHeight="1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7" t="inlineStr"/>
    </row>
    <row r="16" ht="40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17" t="inlineStr"/>
    </row>
    <row r="17" ht="40" customHeight="1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7" t="inlineStr"/>
    </row>
    <row r="18" ht="40" customHeight="1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17" t="inlineStr"/>
    </row>
    <row r="19" ht="40" customHeight="1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7" t="inlineStr"/>
    </row>
    <row r="20" ht="40" customHeight="1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17" t="inlineStr"/>
    </row>
    <row r="21"/>
    <row r="22" ht="10" customHeight="1"/>
    <row r="23" ht="26" customHeight="1">
      <c r="A23" s="23" t="inlineStr">
        <is>
          <t>ПІДПИСИ</t>
        </is>
      </c>
    </row>
    <row r="24" ht="30" customHeight="1">
      <c r="A24" s="3" t="inlineStr">
        <is>
          <t>Фасилітатор (HR):</t>
        </is>
      </c>
      <c r="B24" s="39" t="n"/>
      <c r="C24" s="34" t="n"/>
      <c r="D24" s="40" t="n"/>
      <c r="E24" s="39" t="n"/>
      <c r="F24" s="38" t="inlineStr">
        <is>
          <t>Підпис / дата:</t>
        </is>
      </c>
      <c r="G24" s="40" t="n"/>
      <c r="H24" s="39" t="n"/>
    </row>
    <row r="25" ht="30" customHeight="1">
      <c r="A25" s="3" t="inlineStr">
        <is>
          <t>Керівник 1:</t>
        </is>
      </c>
      <c r="B25" s="39" t="n"/>
      <c r="C25" s="34" t="n"/>
      <c r="D25" s="40" t="n"/>
      <c r="E25" s="39" t="n"/>
      <c r="F25" s="38" t="inlineStr">
        <is>
          <t>Підпис / дата:</t>
        </is>
      </c>
      <c r="G25" s="40" t="n"/>
      <c r="H25" s="39" t="n"/>
    </row>
    <row r="26" ht="30" customHeight="1">
      <c r="A26" s="3" t="inlineStr">
        <is>
          <t>Керівник 2:</t>
        </is>
      </c>
      <c r="B26" s="39" t="n"/>
      <c r="C26" s="34" t="n"/>
      <c r="D26" s="40" t="n"/>
      <c r="E26" s="39" t="n"/>
      <c r="F26" s="38" t="inlineStr">
        <is>
          <t>Підпис / дата:</t>
        </is>
      </c>
      <c r="G26" s="40" t="n"/>
      <c r="H26" s="39" t="n"/>
    </row>
    <row r="27" ht="30" customHeight="1">
      <c r="A27" s="3" t="inlineStr">
        <is>
          <t>Керівник 3:</t>
        </is>
      </c>
      <c r="B27" s="39" t="n"/>
      <c r="C27" s="34" t="n"/>
      <c r="D27" s="40" t="n"/>
      <c r="E27" s="39" t="n"/>
      <c r="F27" s="38" t="inlineStr">
        <is>
          <t>Підпис / дата:</t>
        </is>
      </c>
      <c r="G27" s="40" t="n"/>
      <c r="H27" s="39" t="n"/>
    </row>
  </sheetData>
  <mergeCells count="24">
    <mergeCell ref="A9:H9"/>
    <mergeCell ref="A24:B24"/>
    <mergeCell ref="F26:H26"/>
    <mergeCell ref="A1:H1"/>
    <mergeCell ref="A6:B6"/>
    <mergeCell ref="C27:E27"/>
    <mergeCell ref="A7:B7"/>
    <mergeCell ref="A25:B25"/>
    <mergeCell ref="F27:H27"/>
    <mergeCell ref="A27:B27"/>
    <mergeCell ref="C7:H7"/>
    <mergeCell ref="A26:B26"/>
    <mergeCell ref="A2:H2"/>
    <mergeCell ref="A5:B5"/>
    <mergeCell ref="A23:H23"/>
    <mergeCell ref="F25:H25"/>
    <mergeCell ref="A4:B4"/>
    <mergeCell ref="C24:E24"/>
    <mergeCell ref="C6:H6"/>
    <mergeCell ref="C5:H5"/>
    <mergeCell ref="C26:E26"/>
    <mergeCell ref="C4:H4"/>
    <mergeCell ref="C25:E25"/>
    <mergeCell ref="F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Irina Derevianchenko</dc:creator>
  <dcterms:created xmlns:dcterms="http://purl.org/dc/terms/" xmlns:xsi="http://www.w3.org/2001/XMLSchema-instance" xsi:type="dcterms:W3CDTF">2026-03-12T21:11:23Z</dcterms:created>
  <dcterms:modified xmlns:dcterms="http://purl.org/dc/terms/" xmlns:xsi="http://www.w3.org/2001/XMLSchema-instance" xsi:type="dcterms:W3CDTF">2026-09-12T14:59:18Z</dcterms:modified>
</cp:coreProperties>
</file>